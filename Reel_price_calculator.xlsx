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amogan/Downloads/"/>
    </mc:Choice>
  </mc:AlternateContent>
  <xr:revisionPtr revIDLastSave="0" documentId="13_ncr:1_{8C43081C-1F65-674D-980D-012CF18E875E}" xr6:coauthVersionLast="47" xr6:coauthVersionMax="47" xr10:uidLastSave="{00000000-0000-0000-0000-000000000000}"/>
  <bookViews>
    <workbookView xWindow="8900" yWindow="620" windowWidth="28800" windowHeight="18000" activeTab="2" xr2:uid="{00000000-000D-0000-FFFF-FFFF00000000}"/>
  </bookViews>
  <sheets>
    <sheet name="Instructions" sheetId="3" r:id="rId1"/>
    <sheet name="Parameters" sheetId="1" r:id="rId2"/>
    <sheet name="Price calculato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H2" i="2" s="1"/>
  <c r="F3" i="2"/>
  <c r="F4" i="2"/>
  <c r="K4" i="2" s="1"/>
  <c r="F5" i="2"/>
  <c r="I5" i="2" s="1"/>
  <c r="J5" i="2" s="1"/>
  <c r="F6" i="2"/>
  <c r="I6" i="2" s="1"/>
  <c r="J6" i="2" s="1"/>
  <c r="F7" i="2"/>
  <c r="I7" i="2" s="1"/>
  <c r="J7" i="2" s="1"/>
  <c r="F8" i="2"/>
  <c r="G8" i="2" s="1"/>
  <c r="H8" i="2" s="1"/>
  <c r="L8" i="2"/>
  <c r="M8" i="2"/>
  <c r="M3" i="2"/>
  <c r="M4" i="2"/>
  <c r="M5" i="2"/>
  <c r="M6" i="2"/>
  <c r="M7" i="2"/>
  <c r="M2" i="2"/>
  <c r="L7" i="2"/>
  <c r="L3" i="2"/>
  <c r="L4" i="2"/>
  <c r="L5" i="2"/>
  <c r="L6" i="2"/>
  <c r="L2" i="2"/>
  <c r="G4" i="2"/>
  <c r="H4" i="2" s="1"/>
  <c r="G6" i="2"/>
  <c r="H6" i="2" s="1"/>
  <c r="K3" i="2"/>
  <c r="G5" i="2" l="1"/>
  <c r="H5" i="2" s="1"/>
  <c r="N5" i="2"/>
  <c r="N6" i="2"/>
  <c r="K2" i="2"/>
  <c r="K8" i="2"/>
  <c r="I8" i="2"/>
  <c r="J8" i="2" s="1"/>
  <c r="N8" i="2" s="1"/>
  <c r="I4" i="2"/>
  <c r="J4" i="2" s="1"/>
  <c r="N4" i="2" s="1"/>
  <c r="K6" i="2"/>
  <c r="K5" i="2"/>
  <c r="G7" i="2"/>
  <c r="H7" i="2" s="1"/>
  <c r="N7" i="2" s="1"/>
  <c r="I3" i="2"/>
  <c r="J3" i="2" s="1"/>
  <c r="G3" i="2"/>
  <c r="H3" i="2" s="1"/>
  <c r="N3" i="2" s="1"/>
  <c r="K7" i="2"/>
  <c r="I2" i="2"/>
  <c r="J2" i="2" s="1"/>
  <c r="N2" i="2" s="1"/>
</calcChain>
</file>

<file path=xl/sharedStrings.xml><?xml version="1.0" encoding="utf-8"?>
<sst xmlns="http://schemas.openxmlformats.org/spreadsheetml/2006/main" count="90" uniqueCount="78">
  <si>
    <t>Key</t>
  </si>
  <si>
    <t>Value</t>
  </si>
  <si>
    <t>Pricing Model (choose CPM / CPV / Fixed)</t>
  </si>
  <si>
    <t>CPM_nano</t>
  </si>
  <si>
    <t>CPM_micro</t>
  </si>
  <si>
    <t>CPM_mid</t>
  </si>
  <si>
    <t>CPM_macro</t>
  </si>
  <si>
    <t>CPM_global_median</t>
  </si>
  <si>
    <t>CPV_nano</t>
  </si>
  <si>
    <t>CPV_micro</t>
  </si>
  <si>
    <t>CPV_mid</t>
  </si>
  <si>
    <t>CPV_macro</t>
  </si>
  <si>
    <t>CPV_global_median</t>
  </si>
  <si>
    <t>Fixed_nano</t>
  </si>
  <si>
    <t>Fixed_micro</t>
  </si>
  <si>
    <t>Fixed_mid</t>
  </si>
  <si>
    <t>Fixed_macro</t>
  </si>
  <si>
    <t>Fixed_celebrity</t>
  </si>
  <si>
    <t>Followers</t>
  </si>
  <si>
    <t>Reach</t>
  </si>
  <si>
    <t>Views</t>
  </si>
  <si>
    <t>Engagement Rate</t>
  </si>
  <si>
    <t>Quality</t>
  </si>
  <si>
    <t>medium</t>
  </si>
  <si>
    <t>high</t>
  </si>
  <si>
    <t>low</t>
  </si>
  <si>
    <t>1</t>
  </si>
  <si>
    <t>Final Price will appear in the 'Final_Price' column (column L).</t>
  </si>
  <si>
    <t>Tier</t>
  </si>
  <si>
    <t>Final Reel Price</t>
  </si>
  <si>
    <t xml:space="preserve">Choose your model here! </t>
  </si>
  <si>
    <t>median CPM reach</t>
  </si>
  <si>
    <t>median CPV per 1000</t>
  </si>
  <si>
    <t>CPV</t>
  </si>
  <si>
    <t>Fixed price (median values)</t>
  </si>
  <si>
    <t>CPM reach</t>
  </si>
  <si>
    <t>ER &lt;2% multiplier</t>
  </si>
  <si>
    <t>ER 2-4% multiplier</t>
  </si>
  <si>
    <t>ER 4-6% multiplier</t>
  </si>
  <si>
    <t>ER &gt;6% multiplier</t>
  </si>
  <si>
    <t>Quality low multiplier</t>
  </si>
  <si>
    <t>Quality medium multiplier</t>
  </si>
  <si>
    <t>Quality high multiplier</t>
  </si>
  <si>
    <t>ER</t>
  </si>
  <si>
    <r>
      <t xml:space="preserve">Open the parameters sheet and set Pricing Model in </t>
    </r>
    <r>
      <rPr>
        <b/>
        <sz val="11"/>
        <color theme="1"/>
        <rFont val="Calibri"/>
        <family val="2"/>
        <scheme val="minor"/>
      </rPr>
      <t>cell B24</t>
    </r>
    <r>
      <rPr>
        <sz val="11"/>
        <color theme="1"/>
        <rFont val="Calibri"/>
        <family val="2"/>
        <scheme val="minor"/>
      </rPr>
      <t xml:space="preserve"> to one of: CPM, CPV or Fixed.</t>
    </r>
  </si>
  <si>
    <t>Quality (num)</t>
  </si>
  <si>
    <t xml:space="preserve">CPM Reach (Reach * Median CPM Reach) * ER * Quality </t>
  </si>
  <si>
    <t>Fixed Price (median values) * ER * Quality</t>
  </si>
  <si>
    <r>
      <t xml:space="preserve">Paste your influencer rows into the Data sheet (replace sample rows). </t>
    </r>
    <r>
      <rPr>
        <b/>
        <sz val="11"/>
        <color theme="1"/>
        <rFont val="Calibri"/>
        <family val="2"/>
        <scheme val="minor"/>
      </rPr>
      <t>Columns: Followers, Reach, Views, Engagement Rate, Quality.</t>
    </r>
  </si>
  <si>
    <t>nano</t>
  </si>
  <si>
    <t>micro</t>
  </si>
  <si>
    <t>mid</t>
  </si>
  <si>
    <t>macro</t>
  </si>
  <si>
    <t>celebrity</t>
  </si>
  <si>
    <t>&lt;= 10k</t>
  </si>
  <si>
    <t>&lt;= 50k</t>
  </si>
  <si>
    <t>&lt;= 250</t>
  </si>
  <si>
    <t>&lt;= 1 mio</t>
  </si>
  <si>
    <t>1 mio. +</t>
  </si>
  <si>
    <t xml:space="preserve">Cost per 1000 reach </t>
  </si>
  <si>
    <t>reel price / avg reach reel / 1000</t>
  </si>
  <si>
    <t>reel price / avg views reel / 1000</t>
  </si>
  <si>
    <t xml:space="preserve">Cost per 1000 views </t>
  </si>
  <si>
    <t>Median from tier CPM</t>
  </si>
  <si>
    <t>Median from tier CPV</t>
  </si>
  <si>
    <t>For this price calculator:</t>
  </si>
  <si>
    <t xml:space="preserve">1 - we divide the influencers in tiers according to their follower count: </t>
  </si>
  <si>
    <t>2 - we calculate their median CPM and CPV</t>
  </si>
  <si>
    <t>3 - we calculate the Median Fixed fee price per tier</t>
  </si>
  <si>
    <t>4 - we give scores to their ER and Quality</t>
  </si>
  <si>
    <t>5 - we calculate the price based on 1 of the 3 models: CPM, CPV or Fixed Price</t>
  </si>
  <si>
    <t xml:space="preserve">Price with CPM = </t>
  </si>
  <si>
    <t xml:space="preserve">Price with CPV = </t>
  </si>
  <si>
    <t xml:space="preserve">Price with Fixed fee Price = </t>
  </si>
  <si>
    <t>CPV (Views * Median CPV) * ER* Quality</t>
  </si>
  <si>
    <t>Instructions</t>
  </si>
  <si>
    <t>Customizable!</t>
  </si>
  <si>
    <t>Input your influencer values in columns B to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</si>
</sst>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44" fontId="0" fillId="0" borderId="1" xfId="1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0" xfId="0" applyFont="1" applyFill="1"/>
    <xf numFmtId="44" fontId="0" fillId="4" borderId="1" xfId="1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right" vertical="center"/>
    </xf>
    <xf numFmtId="44" fontId="1" fillId="3" borderId="3" xfId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right" vertical="center"/>
    </xf>
    <xf numFmtId="0" fontId="0" fillId="7" borderId="8" xfId="0" applyFill="1" applyBorder="1" applyAlignment="1">
      <alignment horizontal="right" vertical="center"/>
    </xf>
    <xf numFmtId="0" fontId="0" fillId="8" borderId="8" xfId="0" applyFill="1" applyBorder="1" applyAlignment="1">
      <alignment horizontal="right" vertical="center"/>
    </xf>
    <xf numFmtId="44" fontId="0" fillId="4" borderId="8" xfId="1" applyFont="1" applyFill="1" applyBorder="1" applyAlignment="1">
      <alignment horizontal="center" vertical="center"/>
    </xf>
    <xf numFmtId="44" fontId="0" fillId="6" borderId="8" xfId="1" applyFont="1" applyFill="1" applyBorder="1" applyAlignment="1">
      <alignment horizontal="center" vertical="center"/>
    </xf>
    <xf numFmtId="44" fontId="0" fillId="9" borderId="8" xfId="1" applyFont="1" applyFill="1" applyBorder="1" applyAlignment="1">
      <alignment horizontal="center" vertical="center"/>
    </xf>
    <xf numFmtId="44" fontId="1" fillId="3" borderId="9" xfId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7" borderId="8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5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right" vertical="center"/>
    </xf>
    <xf numFmtId="0" fontId="0" fillId="5" borderId="10" xfId="0" applyFill="1" applyBorder="1" applyAlignment="1">
      <alignment horizontal="right" vertical="center"/>
    </xf>
    <xf numFmtId="0" fontId="3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right" vertical="center"/>
    </xf>
    <xf numFmtId="0" fontId="0" fillId="4" borderId="15" xfId="0" applyFill="1" applyBorder="1" applyAlignment="1">
      <alignment horizontal="right" vertical="center"/>
    </xf>
    <xf numFmtId="0" fontId="0" fillId="4" borderId="16" xfId="0" applyFill="1" applyBorder="1" applyAlignment="1">
      <alignment horizontal="right" vertical="center"/>
    </xf>
    <xf numFmtId="0" fontId="3" fillId="6" borderId="13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right" vertical="center"/>
    </xf>
    <xf numFmtId="0" fontId="0" fillId="6" borderId="15" xfId="0" applyFill="1" applyBorder="1" applyAlignment="1">
      <alignment horizontal="right" vertical="center"/>
    </xf>
    <xf numFmtId="0" fontId="0" fillId="6" borderId="16" xfId="0" applyFill="1" applyBorder="1" applyAlignment="1">
      <alignment horizontal="right" vertical="center"/>
    </xf>
    <xf numFmtId="0" fontId="3" fillId="8" borderId="17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right" vertical="center"/>
    </xf>
    <xf numFmtId="0" fontId="0" fillId="8" borderId="19" xfId="0" applyFill="1" applyBorder="1" applyAlignment="1">
      <alignment horizontal="right" vertical="center"/>
    </xf>
    <xf numFmtId="0" fontId="0" fillId="8" borderId="20" xfId="0" applyFill="1" applyBorder="1" applyAlignment="1">
      <alignment horizontal="right" vertical="center"/>
    </xf>
    <xf numFmtId="0" fontId="3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right" vertical="center"/>
    </xf>
    <xf numFmtId="0" fontId="0" fillId="7" borderId="15" xfId="0" applyFill="1" applyBorder="1" applyAlignment="1">
      <alignment horizontal="right" vertical="center"/>
    </xf>
    <xf numFmtId="0" fontId="0" fillId="7" borderId="16" xfId="0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righ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5"/>
        </patternFill>
      </fill>
      <alignment horizontal="righ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DE80E-AE25-6940-B70D-A313BE717367}" name="Tabelle1" displayName="Tabelle1" ref="A1:N8" totalsRowShown="0" headerRowDxfId="17" headerRowBorderDxfId="16" tableBorderDxfId="15" totalsRowBorderDxfId="14">
  <autoFilter ref="A1:N8" xr:uid="{B11DE80E-AE25-6940-B70D-A313BE717367}"/>
  <tableColumns count="14">
    <tableColumn id="1" xr3:uid="{B75A8E99-B848-FD45-A20A-7DF469A053F3}" name="Followers" dataDxfId="13"/>
    <tableColumn id="2" xr3:uid="{B3F66B9E-A422-7B4B-A5C3-F527FF700C6D}" name="Reach" dataDxfId="12"/>
    <tableColumn id="3" xr3:uid="{BE3E6EC5-079A-AA42-8B31-C9DBA143B093}" name="Views" dataDxfId="11"/>
    <tableColumn id="4" xr3:uid="{7899508A-4F1B-AB47-A7CC-AAE86164BA25}" name="Engagement Rate" dataDxfId="10"/>
    <tableColumn id="5" xr3:uid="{E7D40EA1-34A4-9E49-9F77-95E4574B1324}" name="Quality" dataDxfId="9"/>
    <tableColumn id="6" xr3:uid="{E91FD243-A0F8-EC4A-9BAE-0E72B70F85C3}" name="Tier" dataDxfId="8">
      <calculatedColumnFormula>IF($A2&lt;=10000,"nano",IF($A2&lt;=50000,"micro",IF($A2&lt;=250000,"mid",IF($A2&lt;=1000000,"macro","celebrity"))))</calculatedColumnFormula>
    </tableColumn>
    <tableColumn id="7" xr3:uid="{C8E01F27-3512-3E42-A908-AA95B919C5E0}" name="median CPM reach" dataDxfId="7" dataCellStyle="Währung">
      <calculatedColumnFormula>IF($F2="nano",Parameters!$B$2,IF($F2="micro",Parameters!$B$3,IF($F2="mid",Parameters!$B$4,IF($F2="macro",Parameters!$B$5,Parameters!$B$6))))</calculatedColumnFormula>
    </tableColumn>
    <tableColumn id="8" xr3:uid="{A0D681AB-061F-D24F-A522-138CFCC00753}" name="CPM reach" dataDxfId="6" dataCellStyle="Währung">
      <calculatedColumnFormula>IFERROR(($B2/1000)*G2,"N/A")</calculatedColumnFormula>
    </tableColumn>
    <tableColumn id="9" xr3:uid="{09183830-3223-CF4D-9B44-5F99D0D0E6C4}" name="median CPV per 1000" dataDxfId="5" dataCellStyle="Währung">
      <calculatedColumnFormula>IF($F2="nano",Parameters!$B$7,IF($F2="micro",Parameters!$B$8,IF($F2="mid",Parameters!$B$9,IF($F2="macro",Parameters!$B$10,Parameters!$B$11))))</calculatedColumnFormula>
    </tableColumn>
    <tableColumn id="10" xr3:uid="{BA580F66-1163-AA4D-850B-301C3423B01E}" name="CPV" dataDxfId="4" dataCellStyle="Währung">
      <calculatedColumnFormula>IFERROR(($C2/1000)*I2,"N/A")</calculatedColumnFormula>
    </tableColumn>
    <tableColumn id="11" xr3:uid="{AFD45980-71C7-C943-BBD0-38AC791D9BD3}" name="Fixed price (median values)" dataDxfId="3" dataCellStyle="Währung">
      <calculatedColumnFormula>IF($F2="nano",Parameters!$B$12,IF($F2="micro",Parameters!$B$13,IF($F2="mid",Parameters!$B$14,IF($F2="macro",Parameters!$B$15,Parameters!$B$16))))</calculatedColumnFormula>
    </tableColumn>
    <tableColumn id="12" xr3:uid="{7C25155C-06D3-0A4D-9432-32F0E3224C55}" name="ER" dataDxfId="2">
      <calculatedColumnFormula>IF($D2&lt;0.02,Parameters!$B$17,IF($D2&lt;0.04,Parameters!$B$18,IF($D2&lt;0.06,Parameters!$B$19,Parameters!$B$20)))</calculatedColumnFormula>
    </tableColumn>
    <tableColumn id="13" xr3:uid="{4B2419A3-C452-E044-9F29-3D5EC80B64BD}" name="Quality (num)" dataDxfId="1">
      <calculatedColumnFormula>IF(LOWER($E2)="low",Parameters!$B$21,IF(LOWER($E2)="medium",Parameters!$B$22,IF(LOWER($E2)="high",Parameters!$B$23,Parameters!$B$23)))</calculatedColumnFormula>
    </tableColumn>
    <tableColumn id="14" xr3:uid="{B0DC2DAC-4B26-2D45-B055-9C7C4914482A}" name="Final Reel Price" dataDxfId="0" dataCellStyle="Währung">
      <calculatedColumnFormula>IF(UPPER(Parameters!$B$24)="CPM",$H2*$L2*$M2,IF(UPPER(Parameters!$B$24)="CPV",$J2*$L2*$M2,$K2*$L2*$M2))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selection activeCell="B37" sqref="B37"/>
    </sheetView>
  </sheetViews>
  <sheetFormatPr baseColWidth="10" defaultColWidth="8.83203125" defaultRowHeight="15" x14ac:dyDescent="0.2"/>
  <cols>
    <col min="1" max="1" width="21.83203125" customWidth="1"/>
    <col min="2" max="2" width="100.83203125" customWidth="1"/>
  </cols>
  <sheetData>
    <row r="1" spans="1:2" x14ac:dyDescent="0.2">
      <c r="A1" s="58" t="s">
        <v>75</v>
      </c>
      <c r="B1" s="59"/>
    </row>
    <row r="2" spans="1:2" x14ac:dyDescent="0.2">
      <c r="A2" s="35" t="s">
        <v>26</v>
      </c>
      <c r="B2" s="1" t="s">
        <v>44</v>
      </c>
    </row>
    <row r="3" spans="1:2" x14ac:dyDescent="0.2">
      <c r="A3" s="35">
        <v>2</v>
      </c>
      <c r="B3" s="1" t="s">
        <v>48</v>
      </c>
    </row>
    <row r="4" spans="1:2" x14ac:dyDescent="0.2">
      <c r="A4" s="35">
        <v>3</v>
      </c>
      <c r="B4" s="1" t="s">
        <v>27</v>
      </c>
    </row>
    <row r="5" spans="1:2" x14ac:dyDescent="0.2">
      <c r="A5" s="4"/>
    </row>
    <row r="6" spans="1:2" x14ac:dyDescent="0.2">
      <c r="A6" s="9" t="s">
        <v>65</v>
      </c>
    </row>
    <row r="7" spans="1:2" x14ac:dyDescent="0.2">
      <c r="A7" s="60" t="s">
        <v>66</v>
      </c>
      <c r="B7" s="61"/>
    </row>
    <row r="8" spans="1:2" x14ac:dyDescent="0.2">
      <c r="A8" s="35" t="s">
        <v>49</v>
      </c>
      <c r="B8" s="1" t="s">
        <v>54</v>
      </c>
    </row>
    <row r="9" spans="1:2" x14ac:dyDescent="0.2">
      <c r="A9" s="35" t="s">
        <v>50</v>
      </c>
      <c r="B9" s="1" t="s">
        <v>55</v>
      </c>
    </row>
    <row r="10" spans="1:2" x14ac:dyDescent="0.2">
      <c r="A10" s="35" t="s">
        <v>51</v>
      </c>
      <c r="B10" s="1" t="s">
        <v>56</v>
      </c>
    </row>
    <row r="11" spans="1:2" x14ac:dyDescent="0.2">
      <c r="A11" s="35" t="s">
        <v>52</v>
      </c>
      <c r="B11" s="1" t="s">
        <v>57</v>
      </c>
    </row>
    <row r="12" spans="1:2" x14ac:dyDescent="0.2">
      <c r="A12" s="35" t="s">
        <v>53</v>
      </c>
      <c r="B12" s="1" t="s">
        <v>58</v>
      </c>
    </row>
    <row r="14" spans="1:2" x14ac:dyDescent="0.2">
      <c r="A14" s="62" t="s">
        <v>67</v>
      </c>
      <c r="B14" s="63"/>
    </row>
    <row r="15" spans="1:2" x14ac:dyDescent="0.2">
      <c r="A15" s="3" t="s">
        <v>59</v>
      </c>
      <c r="B15" s="1" t="s">
        <v>60</v>
      </c>
    </row>
    <row r="16" spans="1:2" x14ac:dyDescent="0.2">
      <c r="A16" s="3" t="s">
        <v>62</v>
      </c>
      <c r="B16" s="1" t="s">
        <v>61</v>
      </c>
    </row>
    <row r="17" spans="1:2" x14ac:dyDescent="0.2">
      <c r="A17" s="3" t="s">
        <v>63</v>
      </c>
      <c r="B17" s="1"/>
    </row>
    <row r="18" spans="1:2" x14ac:dyDescent="0.2">
      <c r="A18" s="36" t="s">
        <v>64</v>
      </c>
      <c r="B18" s="1"/>
    </row>
    <row r="20" spans="1:2" x14ac:dyDescent="0.2">
      <c r="A20" s="58" t="s">
        <v>68</v>
      </c>
      <c r="B20" s="59"/>
    </row>
    <row r="22" spans="1:2" x14ac:dyDescent="0.2">
      <c r="A22" s="60" t="s">
        <v>69</v>
      </c>
      <c r="B22" s="61"/>
    </row>
    <row r="23" spans="1:2" x14ac:dyDescent="0.2">
      <c r="A23" s="3" t="s">
        <v>36</v>
      </c>
      <c r="B23" s="34">
        <v>0.8</v>
      </c>
    </row>
    <row r="24" spans="1:2" x14ac:dyDescent="0.2">
      <c r="A24" s="3" t="s">
        <v>37</v>
      </c>
      <c r="B24" s="34">
        <v>1</v>
      </c>
    </row>
    <row r="25" spans="1:2" x14ac:dyDescent="0.2">
      <c r="A25" s="3" t="s">
        <v>38</v>
      </c>
      <c r="B25" s="34">
        <v>1.2</v>
      </c>
    </row>
    <row r="26" spans="1:2" x14ac:dyDescent="0.2">
      <c r="A26" s="3" t="s">
        <v>39</v>
      </c>
      <c r="B26" s="34">
        <v>1.5</v>
      </c>
    </row>
    <row r="27" spans="1:2" x14ac:dyDescent="0.2">
      <c r="A27" s="3" t="s">
        <v>40</v>
      </c>
      <c r="B27" s="34">
        <v>0.9</v>
      </c>
    </row>
    <row r="28" spans="1:2" x14ac:dyDescent="0.2">
      <c r="A28" s="3" t="s">
        <v>41</v>
      </c>
      <c r="B28" s="34">
        <v>1</v>
      </c>
    </row>
    <row r="29" spans="1:2" x14ac:dyDescent="0.2">
      <c r="A29" s="3" t="s">
        <v>42</v>
      </c>
      <c r="B29" s="34">
        <v>1.2</v>
      </c>
    </row>
    <row r="31" spans="1:2" x14ac:dyDescent="0.2">
      <c r="A31" s="64" t="s">
        <v>70</v>
      </c>
      <c r="B31" s="64"/>
    </row>
    <row r="32" spans="1:2" x14ac:dyDescent="0.2">
      <c r="A32" s="37" t="s">
        <v>71</v>
      </c>
      <c r="B32" s="1" t="s">
        <v>46</v>
      </c>
    </row>
    <row r="33" spans="1:2" x14ac:dyDescent="0.2">
      <c r="A33" s="37" t="s">
        <v>72</v>
      </c>
      <c r="B33" s="1" t="s">
        <v>74</v>
      </c>
    </row>
    <row r="34" spans="1:2" x14ac:dyDescent="0.2">
      <c r="A34" s="37" t="s">
        <v>73</v>
      </c>
      <c r="B34" s="1" t="s">
        <v>47</v>
      </c>
    </row>
  </sheetData>
  <mergeCells count="6">
    <mergeCell ref="A31:B31"/>
    <mergeCell ref="A1:B1"/>
    <mergeCell ref="A7:B7"/>
    <mergeCell ref="A14:B14"/>
    <mergeCell ref="A20:B20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I52" sqref="I52"/>
    </sheetView>
  </sheetViews>
  <sheetFormatPr baseColWidth="10" defaultColWidth="8.83203125" defaultRowHeight="15" x14ac:dyDescent="0.2"/>
  <cols>
    <col min="1" max="1" width="45.6640625" customWidth="1"/>
    <col min="2" max="2" width="20.6640625" customWidth="1"/>
    <col min="3" max="3" width="23.5" customWidth="1"/>
  </cols>
  <sheetData>
    <row r="1" spans="1:3" x14ac:dyDescent="0.2">
      <c r="A1" s="3" t="s">
        <v>0</v>
      </c>
      <c r="B1" s="3" t="s">
        <v>1</v>
      </c>
      <c r="C1" s="9" t="s">
        <v>76</v>
      </c>
    </row>
    <row r="2" spans="1:3" x14ac:dyDescent="0.2">
      <c r="A2" s="5" t="s">
        <v>3</v>
      </c>
      <c r="B2" s="7">
        <v>11.688312</v>
      </c>
    </row>
    <row r="3" spans="1:3" x14ac:dyDescent="0.2">
      <c r="A3" s="5" t="s">
        <v>4</v>
      </c>
      <c r="B3" s="7">
        <v>28.636883999999998</v>
      </c>
    </row>
    <row r="4" spans="1:3" x14ac:dyDescent="0.2">
      <c r="A4" s="5" t="s">
        <v>5</v>
      </c>
      <c r="B4" s="7">
        <v>18.932039</v>
      </c>
    </row>
    <row r="5" spans="1:3" x14ac:dyDescent="0.2">
      <c r="A5" s="5" t="s">
        <v>6</v>
      </c>
      <c r="B5" s="7">
        <v>10.593220000000001</v>
      </c>
    </row>
    <row r="6" spans="1:3" x14ac:dyDescent="0.2">
      <c r="A6" s="5" t="s">
        <v>7</v>
      </c>
      <c r="B6" s="7">
        <v>22.058823529411761</v>
      </c>
    </row>
    <row r="7" spans="1:3" x14ac:dyDescent="0.2">
      <c r="A7" s="5" t="s">
        <v>8</v>
      </c>
      <c r="B7" s="7">
        <v>10.964964999999999</v>
      </c>
    </row>
    <row r="8" spans="1:3" x14ac:dyDescent="0.2">
      <c r="A8" s="5" t="s">
        <v>9</v>
      </c>
      <c r="B8" s="7">
        <v>24.271844999999999</v>
      </c>
    </row>
    <row r="9" spans="1:3" x14ac:dyDescent="0.2">
      <c r="A9" s="5" t="s">
        <v>10</v>
      </c>
      <c r="B9" s="7">
        <v>17.492711</v>
      </c>
    </row>
    <row r="10" spans="1:3" x14ac:dyDescent="0.2">
      <c r="A10" s="5" t="s">
        <v>11</v>
      </c>
      <c r="B10" s="7">
        <v>8.9285709999999998</v>
      </c>
    </row>
    <row r="11" spans="1:3" x14ac:dyDescent="0.2">
      <c r="A11" s="5" t="s">
        <v>12</v>
      </c>
      <c r="B11" s="7">
        <v>18.975332068311189</v>
      </c>
    </row>
    <row r="12" spans="1:3" x14ac:dyDescent="0.2">
      <c r="A12" s="5" t="s">
        <v>13</v>
      </c>
      <c r="B12" s="7">
        <v>162.5</v>
      </c>
    </row>
    <row r="13" spans="1:3" x14ac:dyDescent="0.2">
      <c r="A13" s="5" t="s">
        <v>14</v>
      </c>
      <c r="B13" s="7">
        <v>250</v>
      </c>
    </row>
    <row r="14" spans="1:3" x14ac:dyDescent="0.2">
      <c r="A14" s="5" t="s">
        <v>15</v>
      </c>
      <c r="B14" s="7">
        <v>600</v>
      </c>
    </row>
    <row r="15" spans="1:3" x14ac:dyDescent="0.2">
      <c r="A15" s="5" t="s">
        <v>16</v>
      </c>
      <c r="B15" s="7">
        <v>1250</v>
      </c>
    </row>
    <row r="16" spans="1:3" x14ac:dyDescent="0.2">
      <c r="A16" s="5" t="s">
        <v>17</v>
      </c>
      <c r="B16" s="7">
        <v>2000</v>
      </c>
    </row>
    <row r="17" spans="1:3" x14ac:dyDescent="0.2">
      <c r="A17" s="2" t="s">
        <v>36</v>
      </c>
      <c r="B17" s="2">
        <v>0.8</v>
      </c>
    </row>
    <row r="18" spans="1:3" x14ac:dyDescent="0.2">
      <c r="A18" s="2" t="s">
        <v>37</v>
      </c>
      <c r="B18" s="2">
        <v>1</v>
      </c>
    </row>
    <row r="19" spans="1:3" x14ac:dyDescent="0.2">
      <c r="A19" s="2" t="s">
        <v>38</v>
      </c>
      <c r="B19" s="2">
        <v>1.2</v>
      </c>
    </row>
    <row r="20" spans="1:3" x14ac:dyDescent="0.2">
      <c r="A20" s="2" t="s">
        <v>39</v>
      </c>
      <c r="B20" s="2">
        <v>1.5</v>
      </c>
    </row>
    <row r="21" spans="1:3" x14ac:dyDescent="0.2">
      <c r="A21" s="2" t="s">
        <v>40</v>
      </c>
      <c r="B21" s="2">
        <v>0.9</v>
      </c>
    </row>
    <row r="22" spans="1:3" x14ac:dyDescent="0.2">
      <c r="A22" s="2" t="s">
        <v>41</v>
      </c>
      <c r="B22" s="2">
        <v>1</v>
      </c>
    </row>
    <row r="23" spans="1:3" x14ac:dyDescent="0.2">
      <c r="A23" s="2" t="s">
        <v>42</v>
      </c>
      <c r="B23" s="2">
        <v>1.2</v>
      </c>
    </row>
    <row r="24" spans="1:3" x14ac:dyDescent="0.2">
      <c r="A24" s="8" t="s">
        <v>2</v>
      </c>
      <c r="B24" s="8" t="s">
        <v>33</v>
      </c>
      <c r="C24" s="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workbookViewId="0">
      <selection activeCell="D37" sqref="D37"/>
    </sheetView>
  </sheetViews>
  <sheetFormatPr baseColWidth="10" defaultColWidth="8.83203125" defaultRowHeight="15" x14ac:dyDescent="0.2"/>
  <cols>
    <col min="1" max="3" width="12.6640625" style="4" customWidth="1"/>
    <col min="4" max="4" width="16.83203125" style="4" customWidth="1"/>
    <col min="5" max="6" width="12.6640625" style="4" customWidth="1"/>
    <col min="7" max="7" width="18.83203125" style="4" customWidth="1"/>
    <col min="8" max="8" width="14.6640625" style="4" customWidth="1"/>
    <col min="9" max="9" width="20.1640625" style="4" customWidth="1"/>
    <col min="10" max="10" width="14.6640625" style="4" customWidth="1"/>
    <col min="11" max="11" width="24.33203125" style="4" customWidth="1"/>
    <col min="12" max="13" width="23.83203125" style="6" customWidth="1"/>
    <col min="14" max="14" width="18.1640625" style="4" customWidth="1"/>
    <col min="15" max="15" width="37.1640625" style="4" customWidth="1"/>
    <col min="16" max="16384" width="8.83203125" style="4"/>
  </cols>
  <sheetData>
    <row r="1" spans="1:15" s="29" customFormat="1" x14ac:dyDescent="0.2">
      <c r="A1" s="38" t="s">
        <v>18</v>
      </c>
      <c r="B1" s="41" t="s">
        <v>19</v>
      </c>
      <c r="C1" s="45" t="s">
        <v>20</v>
      </c>
      <c r="D1" s="53" t="s">
        <v>21</v>
      </c>
      <c r="E1" s="49" t="s">
        <v>22</v>
      </c>
      <c r="F1" s="22" t="s">
        <v>28</v>
      </c>
      <c r="G1" s="23" t="s">
        <v>31</v>
      </c>
      <c r="H1" s="23" t="s">
        <v>35</v>
      </c>
      <c r="I1" s="24" t="s">
        <v>32</v>
      </c>
      <c r="J1" s="24" t="s">
        <v>33</v>
      </c>
      <c r="K1" s="27" t="s">
        <v>34</v>
      </c>
      <c r="L1" s="25" t="s">
        <v>43</v>
      </c>
      <c r="M1" s="26" t="s">
        <v>45</v>
      </c>
      <c r="N1" s="28" t="s">
        <v>29</v>
      </c>
      <c r="O1" s="57" t="s">
        <v>77</v>
      </c>
    </row>
    <row r="2" spans="1:15" x14ac:dyDescent="0.2">
      <c r="A2" s="39">
        <v>8000</v>
      </c>
      <c r="B2" s="42">
        <v>5000</v>
      </c>
      <c r="C2" s="46">
        <v>3000</v>
      </c>
      <c r="D2" s="54">
        <v>3.5000000000000003E-2</v>
      </c>
      <c r="E2" s="50" t="s">
        <v>23</v>
      </c>
      <c r="F2" s="13" t="str">
        <f>IF($A2&lt;=10000,"nano",IF($A2&lt;=50000,"micro",IF($A2&lt;=250000,"mid",IF($A2&lt;=1000000,"macro","celebrity"))))</f>
        <v>nano</v>
      </c>
      <c r="G2" s="10">
        <f>IF($F2="nano",Parameters!$B$2,IF($F2="micro",Parameters!$B$3,IF($F2="mid",Parameters!$B$4,IF($F2="macro",Parameters!$B$5,Parameters!$B$6))))</f>
        <v>11.688312</v>
      </c>
      <c r="H2" s="10">
        <f>IFERROR(($B2/1000)*G2,"N/A")</f>
        <v>58.441559999999996</v>
      </c>
      <c r="I2" s="11">
        <f>IF($F2="nano",Parameters!$B$7,IF($F2="micro",Parameters!$B$8,IF($F2="mid",Parameters!$B$9,IF($F2="macro",Parameters!$B$10,Parameters!$B$11))))</f>
        <v>10.964964999999999</v>
      </c>
      <c r="J2" s="11">
        <f>IFERROR(($C2/1000)*I2,"N/A")</f>
        <v>32.894894999999998</v>
      </c>
      <c r="K2" s="12">
        <f>IF($F2="nano",Parameters!$B$12,IF($F2="micro",Parameters!$B$13,IF($F2="mid",Parameters!$B$14,IF($F2="macro",Parameters!$B$15,Parameters!$B$16))))</f>
        <v>162.5</v>
      </c>
      <c r="L2" s="30">
        <f>IF($D2&lt;0.02,Parameters!$B$17,IF($D2&lt;0.04,Parameters!$B$18,IF($D2&lt;0.06,Parameters!$B$19,Parameters!$B$20)))</f>
        <v>1</v>
      </c>
      <c r="M2" s="31">
        <f>IF(LOWER($E2)="low",Parameters!$B$21,IF(LOWER($E2)="medium",Parameters!$B$22,IF(LOWER($E2)="high",Parameters!$B$23,Parameters!$B$23)))</f>
        <v>1</v>
      </c>
      <c r="N2" s="14">
        <f>IF(UPPER(Parameters!$B$24)="CPM",$H2*$L2*$M2,IF(UPPER(Parameters!$B$24)="CPV",$J2*$L2*$M2,$K2*$L2*$M2))</f>
        <v>32.894894999999998</v>
      </c>
    </row>
    <row r="3" spans="1:15" x14ac:dyDescent="0.2">
      <c r="A3" s="39">
        <v>25000</v>
      </c>
      <c r="B3" s="42">
        <v>20000</v>
      </c>
      <c r="C3" s="46">
        <v>15000</v>
      </c>
      <c r="D3" s="54">
        <v>4.4999999999999998E-2</v>
      </c>
      <c r="E3" s="50" t="s">
        <v>24</v>
      </c>
      <c r="F3" s="13" t="str">
        <f t="shared" ref="F3:F7" si="0">IF($A3&lt;=10000,"nano",IF($A3&lt;=50000,"micro",IF($A3&lt;=250000,"mid",IF($A3&lt;=1000000,"macro","celebrity"))))</f>
        <v>micro</v>
      </c>
      <c r="G3" s="10">
        <f>IF($F3="nano",Parameters!$B$2,IF($F3="micro",Parameters!$B$3,IF($F3="mid",Parameters!$B$4,IF($F3="macro",Parameters!$B$5,Parameters!$B$6))))</f>
        <v>28.636883999999998</v>
      </c>
      <c r="H3" s="10">
        <f t="shared" ref="H3:H7" si="1">IFERROR(($B3/1000)*G3,"N/A")</f>
        <v>572.73767999999995</v>
      </c>
      <c r="I3" s="11">
        <f>IF($F3="nano",Parameters!$B$7,IF($F3="micro",Parameters!$B$8,IF($F3="mid",Parameters!$B$9,IF($F3="macro",Parameters!$B$10,Parameters!$B$11))))</f>
        <v>24.271844999999999</v>
      </c>
      <c r="J3" s="11">
        <f t="shared" ref="J3:J7" si="2">IFERROR(($C3/1000)*I3,"N/A")</f>
        <v>364.077675</v>
      </c>
      <c r="K3" s="12">
        <f>IF($F3="nano",Parameters!$B$12,IF($F3="micro",Parameters!$B$13,IF($F3="mid",Parameters!$B$14,IF($F3="macro",Parameters!$B$15,Parameters!$B$16))))</f>
        <v>250</v>
      </c>
      <c r="L3" s="30">
        <f>IF($D3&lt;0.02,Parameters!$B$17,IF($D3&lt;0.04,Parameters!$B$18,IF($D3&lt;0.06,Parameters!$B$19,Parameters!$B$20)))</f>
        <v>1.2</v>
      </c>
      <c r="M3" s="31">
        <f>IF(LOWER($E3)="low",Parameters!$B$21,IF(LOWER($E3)="medium",Parameters!$B$22,IF(LOWER($E3)="high",Parameters!$B$23,Parameters!$B$23)))</f>
        <v>1.2</v>
      </c>
      <c r="N3" s="14">
        <f>IF(UPPER(Parameters!$B$24)="CPM",$H3*$L3*$M3,IF(UPPER(Parameters!$B$24)="CPV",$J3*$L3*$M3,$K3*$L3*$M3))</f>
        <v>524.27185199999997</v>
      </c>
    </row>
    <row r="4" spans="1:15" x14ac:dyDescent="0.2">
      <c r="A4" s="39">
        <v>75000</v>
      </c>
      <c r="B4" s="42">
        <v>40000</v>
      </c>
      <c r="C4" s="46">
        <v>35000</v>
      </c>
      <c r="D4" s="54">
        <v>2.5000000000000001E-2</v>
      </c>
      <c r="E4" s="50" t="s">
        <v>23</v>
      </c>
      <c r="F4" s="13" t="str">
        <f t="shared" si="0"/>
        <v>mid</v>
      </c>
      <c r="G4" s="10">
        <f>IF($F4="nano",Parameters!$B$2,IF($F4="micro",Parameters!$B$3,IF($F4="mid",Parameters!$B$4,IF($F4="macro",Parameters!$B$5,Parameters!$B$6))))</f>
        <v>18.932039</v>
      </c>
      <c r="H4" s="10">
        <f t="shared" si="1"/>
        <v>757.28156000000001</v>
      </c>
      <c r="I4" s="11">
        <f>IF($F4="nano",Parameters!$B$7,IF($F4="micro",Parameters!$B$8,IF($F4="mid",Parameters!$B$9,IF($F4="macro",Parameters!$B$10,Parameters!$B$11))))</f>
        <v>17.492711</v>
      </c>
      <c r="J4" s="11">
        <f t="shared" si="2"/>
        <v>612.24488499999995</v>
      </c>
      <c r="K4" s="12">
        <f>IF($F4="nano",Parameters!$B$12,IF($F4="micro",Parameters!$B$13,IF($F4="mid",Parameters!$B$14,IF($F4="macro",Parameters!$B$15,Parameters!$B$16))))</f>
        <v>600</v>
      </c>
      <c r="L4" s="30">
        <f>IF($D4&lt;0.02,Parameters!$B$17,IF($D4&lt;0.04,Parameters!$B$18,IF($D4&lt;0.06,Parameters!$B$19,Parameters!$B$20)))</f>
        <v>1</v>
      </c>
      <c r="M4" s="31">
        <f>IF(LOWER($E4)="low",Parameters!$B$21,IF(LOWER($E4)="medium",Parameters!$B$22,IF(LOWER($E4)="high",Parameters!$B$23,Parameters!$B$23)))</f>
        <v>1</v>
      </c>
      <c r="N4" s="14">
        <f>IF(UPPER(Parameters!$B$24)="CPM",$H4*$L4*$M4,IF(UPPER(Parameters!$B$24)="CPV",$J4*$L4*$M4,$K4*$L4*$M4))</f>
        <v>612.24488499999995</v>
      </c>
    </row>
    <row r="5" spans="1:15" x14ac:dyDescent="0.2">
      <c r="A5" s="39">
        <v>180000</v>
      </c>
      <c r="B5" s="42">
        <v>90000</v>
      </c>
      <c r="C5" s="46">
        <v>70000</v>
      </c>
      <c r="D5" s="54">
        <v>1.4999999999999999E-2</v>
      </c>
      <c r="E5" s="50" t="s">
        <v>25</v>
      </c>
      <c r="F5" s="13" t="str">
        <f t="shared" si="0"/>
        <v>mid</v>
      </c>
      <c r="G5" s="10">
        <f>IF($F5="nano",Parameters!$B$2,IF($F5="micro",Parameters!$B$3,IF($F5="mid",Parameters!$B$4,IF($F5="macro",Parameters!$B$5,Parameters!$B$6))))</f>
        <v>18.932039</v>
      </c>
      <c r="H5" s="10">
        <f t="shared" si="1"/>
        <v>1703.8835099999999</v>
      </c>
      <c r="I5" s="11">
        <f>IF($F5="nano",Parameters!$B$7,IF($F5="micro",Parameters!$B$8,IF($F5="mid",Parameters!$B$9,IF($F5="macro",Parameters!$B$10,Parameters!$B$11))))</f>
        <v>17.492711</v>
      </c>
      <c r="J5" s="11">
        <f t="shared" si="2"/>
        <v>1224.4897699999999</v>
      </c>
      <c r="K5" s="12">
        <f>IF($F5="nano",Parameters!$B$12,IF($F5="micro",Parameters!$B$13,IF($F5="mid",Parameters!$B$14,IF($F5="macro",Parameters!$B$15,Parameters!$B$16))))</f>
        <v>600</v>
      </c>
      <c r="L5" s="30">
        <f>IF($D5&lt;0.02,Parameters!$B$17,IF($D5&lt;0.04,Parameters!$B$18,IF($D5&lt;0.06,Parameters!$B$19,Parameters!$B$20)))</f>
        <v>0.8</v>
      </c>
      <c r="M5" s="31">
        <f>IF(LOWER($E5)="low",Parameters!$B$21,IF(LOWER($E5)="medium",Parameters!$B$22,IF(LOWER($E5)="high",Parameters!$B$23,Parameters!$B$23)))</f>
        <v>0.9</v>
      </c>
      <c r="N5" s="14">
        <f>IF(UPPER(Parameters!$B$24)="CPM",$H5*$L5*$M5,IF(UPPER(Parameters!$B$24)="CPV",$J5*$L5*$M5,$K5*$L5*$M5))</f>
        <v>881.63263440000003</v>
      </c>
    </row>
    <row r="6" spans="1:15" x14ac:dyDescent="0.2">
      <c r="A6" s="39">
        <v>300000</v>
      </c>
      <c r="B6" s="42">
        <v>120000</v>
      </c>
      <c r="C6" s="46">
        <v>90000</v>
      </c>
      <c r="D6" s="54">
        <v>0.05</v>
      </c>
      <c r="E6" s="50" t="s">
        <v>24</v>
      </c>
      <c r="F6" s="13" t="str">
        <f t="shared" si="0"/>
        <v>macro</v>
      </c>
      <c r="G6" s="10">
        <f>IF($F6="nano",Parameters!$B$2,IF($F6="micro",Parameters!$B$3,IF($F6="mid",Parameters!$B$4,IF($F6="macro",Parameters!$B$5,Parameters!$B$6))))</f>
        <v>10.593220000000001</v>
      </c>
      <c r="H6" s="10">
        <f t="shared" si="1"/>
        <v>1271.1864</v>
      </c>
      <c r="I6" s="11">
        <f>IF($F6="nano",Parameters!$B$7,IF($F6="micro",Parameters!$B$8,IF($F6="mid",Parameters!$B$9,IF($F6="macro",Parameters!$B$10,Parameters!$B$11))))</f>
        <v>8.9285709999999998</v>
      </c>
      <c r="J6" s="11">
        <f t="shared" si="2"/>
        <v>803.57138999999995</v>
      </c>
      <c r="K6" s="12">
        <f>IF($F6="nano",Parameters!$B$12,IF($F6="micro",Parameters!$B$13,IF($F6="mid",Parameters!$B$14,IF($F6="macro",Parameters!$B$15,Parameters!$B$16))))</f>
        <v>1250</v>
      </c>
      <c r="L6" s="30">
        <f>IF($D6&lt;0.02,Parameters!$B$17,IF($D6&lt;0.04,Parameters!$B$18,IF($D6&lt;0.06,Parameters!$B$19,Parameters!$B$20)))</f>
        <v>1.2</v>
      </c>
      <c r="M6" s="31">
        <f>IF(LOWER($E6)="low",Parameters!$B$21,IF(LOWER($E6)="medium",Parameters!$B$22,IF(LOWER($E6)="high",Parameters!$B$23,Parameters!$B$23)))</f>
        <v>1.2</v>
      </c>
      <c r="N6" s="14">
        <f>IF(UPPER(Parameters!$B$24)="CPM",$H6*$L6*$M6,IF(UPPER(Parameters!$B$24)="CPV",$J6*$L6*$M6,$K6*$L6*$M6))</f>
        <v>1157.1428015999998</v>
      </c>
    </row>
    <row r="7" spans="1:15" x14ac:dyDescent="0.2">
      <c r="A7" s="40">
        <v>1500000</v>
      </c>
      <c r="B7" s="43">
        <v>400000</v>
      </c>
      <c r="C7" s="47">
        <v>250000</v>
      </c>
      <c r="D7" s="55">
        <v>0.03</v>
      </c>
      <c r="E7" s="51" t="s">
        <v>23</v>
      </c>
      <c r="F7" s="15" t="str">
        <f t="shared" si="0"/>
        <v>celebrity</v>
      </c>
      <c r="G7" s="18">
        <f>IF($F7="nano",Parameters!$B$2,IF($F7="micro",Parameters!$B$3,IF($F7="mid",Parameters!$B$4,IF($F7="macro",Parameters!$B$5,Parameters!$B$6))))</f>
        <v>22.058823529411761</v>
      </c>
      <c r="H7" s="18">
        <f t="shared" si="1"/>
        <v>8823.5294117647045</v>
      </c>
      <c r="I7" s="19">
        <f>IF($F7="nano",Parameters!$B$7,IF($F7="micro",Parameters!$B$8,IF($F7="mid",Parameters!$B$9,IF($F7="macro",Parameters!$B$10,Parameters!$B$11))))</f>
        <v>18.975332068311189</v>
      </c>
      <c r="J7" s="19">
        <f t="shared" si="2"/>
        <v>4743.8330170777972</v>
      </c>
      <c r="K7" s="20">
        <f>IF($F7="nano",Parameters!$B$12,IF($F7="micro",Parameters!$B$13,IF($F7="mid",Parameters!$B$14,IF($F7="macro",Parameters!$B$15,Parameters!$B$16))))</f>
        <v>2000</v>
      </c>
      <c r="L7" s="32">
        <f>IF($D7&lt;0.02,Parameters!$B$17,IF($D7&lt;0.04,Parameters!$B$18,IF($D7&lt;0.06,Parameters!$B$19,Parameters!$B$20)))</f>
        <v>1</v>
      </c>
      <c r="M7" s="33">
        <f>IF(LOWER($E7)="low",Parameters!$B$21,IF(LOWER($E7)="medium",Parameters!$B$22,IF(LOWER($E7)="high",Parameters!$B$23,Parameters!$B$23)))</f>
        <v>1</v>
      </c>
      <c r="N7" s="21">
        <f>IF(UPPER(Parameters!$B$24)="CPM",$H7*$L7*$M7,IF(UPPER(Parameters!$B$24)="CPV",$J7*$L7*$M7,$K7*$L7*$M7))</f>
        <v>4743.8330170777972</v>
      </c>
    </row>
    <row r="8" spans="1:15" ht="16" thickBot="1" x14ac:dyDescent="0.25">
      <c r="A8" s="40">
        <v>50000</v>
      </c>
      <c r="B8" s="44">
        <v>45000</v>
      </c>
      <c r="C8" s="48">
        <v>4000</v>
      </c>
      <c r="D8" s="56">
        <v>0.4</v>
      </c>
      <c r="E8" s="52" t="s">
        <v>24</v>
      </c>
      <c r="F8" s="15" t="str">
        <f>IF($A8&lt;=10000,"nano",IF($A8&lt;=50000,"micro",IF($A8&lt;=250000,"mid",IF($A8&lt;=1000000,"macro","celebrity"))))</f>
        <v>micro</v>
      </c>
      <c r="G8" s="18">
        <f>IF($F8="nano",Parameters!$B$2,IF($F8="micro",Parameters!$B$3,IF($F8="mid",Parameters!$B$4,IF($F8="macro",Parameters!$B$5,Parameters!$B$6))))</f>
        <v>28.636883999999998</v>
      </c>
      <c r="H8" s="18">
        <f>IFERROR(($B8/1000)*G8,"N/A")</f>
        <v>1288.65978</v>
      </c>
      <c r="I8" s="19">
        <f>IF($F8="nano",Parameters!$B$7,IF($F8="micro",Parameters!$B$8,IF($F8="mid",Parameters!$B$9,IF($F8="macro",Parameters!$B$10,Parameters!$B$11))))</f>
        <v>24.271844999999999</v>
      </c>
      <c r="J8" s="19">
        <f>IFERROR(($C8/1000)*I8,"N/A")</f>
        <v>97.087379999999996</v>
      </c>
      <c r="K8" s="20">
        <f>IF($F8="nano",Parameters!$B$12,IF($F8="micro",Parameters!$B$13,IF($F8="mid",Parameters!$B$14,IF($F8="macro",Parameters!$B$15,Parameters!$B$16))))</f>
        <v>250</v>
      </c>
      <c r="L8" s="16">
        <f>IF($D8&lt;0.02,Parameters!$B$17,IF($D8&lt;0.04,Parameters!$B$18,IF($D8&lt;0.06,Parameters!$B$19,Parameters!$B$20)))</f>
        <v>1.5</v>
      </c>
      <c r="M8" s="17">
        <f>IF(LOWER($E8)="low",Parameters!$B$21,IF(LOWER($E8)="medium",Parameters!$B$22,IF(LOWER($E8)="high",Parameters!$B$23,Parameters!$B$23)))</f>
        <v>1.2</v>
      </c>
      <c r="N8" s="21">
        <f>IF(UPPER(Parameters!$B$24)="CPM",$H8*$L8*$M8,IF(UPPER(Parameters!$B$24)="CPV",$J8*$L8*$M8,$K8*$L8*$M8))</f>
        <v>174.757284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Instructions</vt:lpstr>
      <vt:lpstr>Parameters</vt:lpstr>
      <vt:lpstr>Price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mogan roncero</cp:lastModifiedBy>
  <dcterms:created xsi:type="dcterms:W3CDTF">2025-11-24T12:24:28Z</dcterms:created>
  <dcterms:modified xsi:type="dcterms:W3CDTF">2026-01-08T18:00:00Z</dcterms:modified>
</cp:coreProperties>
</file>